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5716F7C-B54C-43DA-8D63-B5185E152DE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3" sheetId="3" r:id="rId1"/>
    <sheet name="Sheet2" sheetId="2" r:id="rId2"/>
    <sheet name="Sheet4" sheetId="4" r:id="rId3"/>
    <sheet name="Sheet1" sheetId="1" r:id="rId4"/>
  </sheets>
  <definedNames>
    <definedName name="_xlchart.v1.0" hidden="1">Sheet1!$I$1</definedName>
    <definedName name="_xlchart.v1.1" hidden="1">Sheet1!$I$2:$I$51</definedName>
    <definedName name="_xlchart.v1.2" hidden="1">Sheet1!$I$1</definedName>
    <definedName name="_xlchart.v1.3" hidden="1">Sheet1!$I$2:$I$51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O8" i="1" a="1"/>
  <c r="O8" i="1" s="1"/>
  <c r="P2" i="1"/>
  <c r="P3" i="1"/>
  <c r="P4" i="1"/>
  <c r="P5" i="1"/>
  <c r="O2" i="1" a="1"/>
  <c r="O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2" i="1"/>
  <c r="L3" i="1"/>
  <c r="L5" i="1"/>
  <c r="M5" i="1"/>
  <c r="M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<sst xmlns="http://schemas.openxmlformats.org/spreadsheetml/2006/main" count="305" uniqueCount="135">
  <si>
    <t>Customer_ID</t>
  </si>
  <si>
    <t>Name</t>
  </si>
  <si>
    <t>Gender</t>
  </si>
  <si>
    <t>Age</t>
  </si>
  <si>
    <t>Education_Level</t>
  </si>
  <si>
    <t>Region</t>
  </si>
  <si>
    <t>SalesPerson</t>
  </si>
  <si>
    <t>Product_Category</t>
  </si>
  <si>
    <t>Quantity</t>
  </si>
  <si>
    <t>UnitPrice</t>
  </si>
  <si>
    <t>Purchase_Date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</si>
  <si>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</si>
  <si>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</si>
  <si>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</si>
  <si>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</si>
  <si>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</si>
  <si>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</si>
  <si>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</si>
  <si>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</si>
  <si>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</si>
  <si>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</si>
  <si>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</si>
  <si>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</si>
  <si>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</si>
  <si>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</si>
  <si>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</si>
  <si>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</si>
  <si>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</si>
  <si>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</si>
  <si>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</si>
  <si>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</si>
  <si>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</si>
  <si>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</si>
  <si>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</si>
  <si>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</si>
  <si>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</si>
  <si>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</si>
  <si>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</si>
  <si>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</si>
  <si>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</si>
  <si>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</si>
  <si>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</si>
  <si>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</si>
  <si>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</si>
  <si>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</si>
  <si>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</si>
  <si>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</si>
  <si>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</si>
  <si>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</si>
  <si>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</si>
  <si>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</si>
  <si>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</si>
  <si>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</si>
  <si>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</si>
  <si>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</si>
  <si>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</si>
  <si>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</si>
  <si>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</si>
  <si>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</si>
  <si>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</si>
  <si>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</si>
  <si>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Sara Khan</t>
  </si>
  <si>
    <t>Bilal Malik</t>
  </si>
  <si>
    <t>Fatima Malik</t>
  </si>
  <si>
    <t>Sara Ahmed</t>
  </si>
  <si>
    <t>Hassan Khan</t>
  </si>
  <si>
    <t>Zara Hussain</t>
  </si>
  <si>
    <t>Ali Khan</t>
  </si>
  <si>
    <t>Sara Malik</t>
  </si>
  <si>
    <t>Fatima Raza</t>
  </si>
  <si>
    <t>Zara Khan</t>
  </si>
  <si>
    <t>Hassan Malik</t>
  </si>
  <si>
    <t>Hassan Hussain</t>
  </si>
  <si>
    <t>Fatima Hussain</t>
  </si>
  <si>
    <t>Zara Sheikh</t>
  </si>
  <si>
    <t>Ali Malik</t>
  </si>
  <si>
    <t>Usman Sheikh</t>
  </si>
  <si>
    <t>Fatima Sheikh</t>
  </si>
  <si>
    <t>Usman Khan</t>
  </si>
  <si>
    <t>Ayesha Sheikh</t>
  </si>
  <si>
    <t>Ali Ahmed</t>
  </si>
  <si>
    <t>Hina Raza</t>
  </si>
  <si>
    <t>Sara Hussain</t>
  </si>
  <si>
    <t>Sara Raza</t>
  </si>
  <si>
    <t>Bilal Ahmed</t>
  </si>
  <si>
    <t>Zara Malik</t>
  </si>
  <si>
    <t>Bilal Hussain</t>
  </si>
  <si>
    <t>Ayesha Malik</t>
  </si>
  <si>
    <t>Fatima Ahmed</t>
  </si>
  <si>
    <t>Ahmed Raza</t>
  </si>
  <si>
    <t>Hina Hussain</t>
  </si>
  <si>
    <t>Ayesha Khan</t>
  </si>
  <si>
    <t>Fatima Khan</t>
  </si>
  <si>
    <t>Ayesha Hussain</t>
  </si>
  <si>
    <t>Bilal Khan</t>
  </si>
  <si>
    <t>East</t>
  </si>
  <si>
    <t>South</t>
  </si>
  <si>
    <t>North</t>
  </si>
  <si>
    <t>West</t>
  </si>
  <si>
    <t>Sara</t>
  </si>
  <si>
    <t>Bilal</t>
  </si>
  <si>
    <t>Fatima</t>
  </si>
  <si>
    <t>Ahmed</t>
  </si>
  <si>
    <t>Electronics</t>
  </si>
  <si>
    <t>Grocery</t>
  </si>
  <si>
    <t>Furniture</t>
  </si>
  <si>
    <t>Clothing</t>
  </si>
  <si>
    <t>Total Rows</t>
  </si>
  <si>
    <t>Avg Age</t>
  </si>
  <si>
    <t>Max Education Level</t>
  </si>
  <si>
    <t>Min Education Level</t>
  </si>
  <si>
    <t>Calculations -1</t>
  </si>
  <si>
    <t>Calculation -2</t>
  </si>
  <si>
    <t>TotalSales</t>
  </si>
  <si>
    <t>Unique Products</t>
  </si>
  <si>
    <t>Frequency of Each Product</t>
  </si>
  <si>
    <t>Frequency by Regions</t>
  </si>
  <si>
    <t>Unique Regions</t>
  </si>
  <si>
    <t>Row Labels</t>
  </si>
  <si>
    <t>Grand Total</t>
  </si>
  <si>
    <t>Sum of TotalSales</t>
  </si>
  <si>
    <t>Column Labels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</si>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</sst>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Rs&quot;#,##0"/>
    <numFmt numFmtId="168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0" fontId="0" fillId="0" borderId="2" xfId="0" applyFont="1" applyFill="1" applyBorder="1" applyAlignment="1">
      <alignment horizontal="center" vertical="top"/>
    </xf>
    <xf numFmtId="0" fontId="1" fillId="0" borderId="0" xfId="0" applyFont="1"/>
    <xf numFmtId="166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 applyBorder="1" applyAlignment="1"/>
    <xf numFmtId="0" fontId="0" fillId="0" borderId="3" xfId="0" applyFill="1" applyBorder="1" applyAlignment="1"/>
    <xf numFmtId="0" fontId="2" fillId="0" borderId="4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Frequency distribution of Quantity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ADF8A332-B448-48F4-AC6B-30D6931D06F6}">
          <cx:tx>
            <cx:txData>
              <cx:f>_xlchart.v1.2</cx:f>
              <cx:v>Quantity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561160</xdr:colOff>
      <xdr:row>0</xdr:row>
      <xdr:rowOff>175072</xdr:rowOff>
    </xdr:from>
    <xdr:to>
      <xdr:col>29</xdr:col>
      <xdr:colOff>262659</xdr:colOff>
      <xdr:row>15</xdr:row>
      <xdr:rowOff>175072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1871CD4-F253-3D73-4C16-D73B883892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06985" y="175072"/>
              <a:ext cx="4578299" cy="2714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63.524148032404" createdVersion="8" refreshedVersion="8" minRefreshableVersion="3" recordCount="50" xr:uid="{0C8EBD1C-851D-4BCF-8176-BF4920679E76}">
  <cacheSource type="worksheet">
    <worksheetSource ref="A1:Q51" sheet="Sheet1"/>
  </cacheSource>
  <cacheFields count="17">
    <cacheField name="Customer_ID" numFmtId="49">
      <sharedItems/>
    </cacheField>
    <cacheField name="Name" numFmtId="49">
      <sharedItems/>
    </cacheField>
    <cacheField name="Gender" numFmtId="1">
      <sharedItems containsSemiMixedTypes="0" containsString="0" containsNumber="1" containsInteger="1" minValue="0" maxValue="1"/>
    </cacheField>
    <cacheField name="Age" numFmtId="1">
      <sharedItems containsSemiMixedTypes="0" containsString="0" containsNumber="1" containsInteger="1" minValue="18" maxValue="59"/>
    </cacheField>
    <cacheField name="Education_Level" numFmtId="1">
      <sharedItems containsSemiMixedTypes="0" containsString="0" containsNumber="1" containsInteger="1" minValue="1" maxValue="4"/>
    </cacheField>
    <cacheField name="Region" numFmtId="49">
      <sharedItems count="4">
        <s v="East"/>
        <s v="South"/>
        <s v="North"/>
        <s v="West"/>
      </sharedItems>
    </cacheField>
    <cacheField name="SalesPerson" numFmtId="49">
      <sharedItems count="4">
        <s v="Sara"/>
        <s v="Bilal"/>
        <s v="Fatima"/>
        <s v="Ahmed"/>
      </sharedItems>
    </cacheField>
    <cacheField name="Product_Category" numFmtId="49">
      <sharedItems count="4">
        <s v="Electronics"/>
        <s v="Grocery"/>
        <s v="Furniture"/>
        <s v="Clothing"/>
      </sharedItems>
    </cacheField>
    <cacheField name="Quantity" numFmtId="1">
      <sharedItems containsSemiMixedTypes="0" containsString="0" containsNumber="1" containsInteger="1" minValue="1" maxValue="9"/>
    </cacheField>
    <cacheField name="UnitPrice" numFmtId="166">
      <sharedItems containsSemiMixedTypes="0" containsString="0" containsNumber="1" containsInteger="1" minValue="516" maxValue="4996"/>
    </cacheField>
    <cacheField name="Purchase_Date" numFmtId="168">
      <sharedItems containsSemiMixedTypes="0" containsNonDate="0" containsDate="1" containsString="0" minDate="2024-01-13T00:00:00" maxDate="2024-12-26T00:00:00"/>
    </cacheField>
    <cacheField name="Calculations -1" numFmtId="0">
      <sharedItems containsBlank="1" containsMixedTypes="1" containsNumber="1" minValue="36.82" maxValue="50"/>
    </cacheField>
    <cacheField name="Calculation -2" numFmtId="0">
      <sharedItems containsBlank="1" containsMixedTypes="1" containsNumber="1" containsInteger="1" minValue="1" maxValue="4"/>
    </cacheField>
    <cacheField name="TotalSales" numFmtId="166">
      <sharedItems containsSemiMixedTypes="0" containsString="0" containsNumber="1" containsInteger="1" minValue="660" maxValue="44964"/>
    </cacheField>
    <cacheField name="Unique Products" numFmtId="0">
      <sharedItems containsBlank="1" containsMixedTypes="1" containsNumber="1" containsInteger="1" minValue="0" maxValue="0"/>
    </cacheField>
    <cacheField name="Frequency of Each Product" numFmtId="0">
      <sharedItems containsString="0" containsBlank="1" containsNumber="1" containsInteger="1" minValue="11" maxValue="14"/>
    </cacheField>
    <cacheField name="Frequency by Regions" numFmtId="0">
      <sharedItems containsString="0" containsBlank="1" containsNumber="1" containsInteger="1" minValue="10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001"/>
    <s v="Sara Khan"/>
    <n v="0"/>
    <n v="20"/>
    <n v="1"/>
    <x v="0"/>
    <x v="0"/>
    <x v="0"/>
    <n v="3"/>
    <n v="598"/>
    <d v="2024-06-09T00:00:00"/>
    <s v="Total Rows"/>
    <s v="Max Education Level"/>
    <n v="1794"/>
    <s v="Electronics"/>
    <n v="13"/>
    <n v="16"/>
  </r>
  <r>
    <s v="C002"/>
    <s v="Bilal Malik"/>
    <n v="1"/>
    <n v="54"/>
    <n v="3"/>
    <x v="0"/>
    <x v="1"/>
    <x v="0"/>
    <n v="4"/>
    <n v="2700"/>
    <d v="2024-09-12T00:00:00"/>
    <n v="50"/>
    <n v="4"/>
    <n v="10800"/>
    <s v="Grocery"/>
    <n v="14"/>
    <n v="10"/>
  </r>
  <r>
    <s v="C003"/>
    <s v="Fatima Malik"/>
    <n v="0"/>
    <n v="24"/>
    <n v="1"/>
    <x v="1"/>
    <x v="2"/>
    <x v="1"/>
    <n v="4"/>
    <n v="3461"/>
    <d v="2024-11-18T00:00:00"/>
    <s v="Avg Age"/>
    <s v="Min Education Level"/>
    <n v="13844"/>
    <s v="Furniture"/>
    <n v="11"/>
    <n v="11"/>
  </r>
  <r>
    <s v="C004"/>
    <s v="Sara Ahmed"/>
    <n v="0"/>
    <n v="38"/>
    <n v="4"/>
    <x v="0"/>
    <x v="0"/>
    <x v="0"/>
    <n v="3"/>
    <n v="4933"/>
    <d v="2024-05-07T00:00:00"/>
    <n v="36.82"/>
    <n v="1"/>
    <n v="14799"/>
    <s v="Clothing"/>
    <n v="12"/>
    <n v="13"/>
  </r>
  <r>
    <s v="C005"/>
    <s v="Hassan Khan"/>
    <n v="0"/>
    <n v="26"/>
    <n v="1"/>
    <x v="0"/>
    <x v="1"/>
    <x v="2"/>
    <n v="3"/>
    <n v="4277"/>
    <d v="2024-01-18T00:00:00"/>
    <m/>
    <m/>
    <n v="12831"/>
    <m/>
    <m/>
    <m/>
  </r>
  <r>
    <s v="C006"/>
    <s v="Zara Hussain"/>
    <n v="1"/>
    <n v="56"/>
    <n v="4"/>
    <x v="2"/>
    <x v="2"/>
    <x v="0"/>
    <n v="3"/>
    <n v="3369"/>
    <d v="2024-10-07T00:00:00"/>
    <m/>
    <m/>
    <n v="10107"/>
    <s v="Unique Regions"/>
    <m/>
    <m/>
  </r>
  <r>
    <s v="C007"/>
    <s v="Ali Khan"/>
    <n v="0"/>
    <n v="35"/>
    <n v="4"/>
    <x v="0"/>
    <x v="3"/>
    <x v="3"/>
    <n v="4"/>
    <n v="3734"/>
    <d v="2024-08-10T00:00:00"/>
    <m/>
    <m/>
    <n v="14936"/>
    <s v="East"/>
    <m/>
    <m/>
  </r>
  <r>
    <s v="C008"/>
    <s v="Sara Malik"/>
    <n v="0"/>
    <n v="21"/>
    <n v="4"/>
    <x v="0"/>
    <x v="1"/>
    <x v="3"/>
    <n v="7"/>
    <n v="4291"/>
    <d v="2024-02-23T00:00:00"/>
    <m/>
    <m/>
    <n v="30037"/>
    <s v="South"/>
    <m/>
    <m/>
  </r>
  <r>
    <s v="C009"/>
    <s v="Fatima Raza"/>
    <n v="0"/>
    <n v="42"/>
    <n v="3"/>
    <x v="1"/>
    <x v="0"/>
    <x v="1"/>
    <n v="4"/>
    <n v="1456"/>
    <d v="2024-02-27T00:00:00"/>
    <m/>
    <m/>
    <n v="5824"/>
    <s v="North"/>
    <m/>
    <m/>
  </r>
  <r>
    <s v="C010"/>
    <s v="Zara Khan"/>
    <n v="1"/>
    <n v="31"/>
    <n v="3"/>
    <x v="1"/>
    <x v="3"/>
    <x v="3"/>
    <n v="9"/>
    <n v="4567"/>
    <d v="2024-11-18T00:00:00"/>
    <m/>
    <m/>
    <n v="41103"/>
    <s v="West"/>
    <m/>
    <m/>
  </r>
  <r>
    <s v="C011"/>
    <s v="Hassan Malik"/>
    <n v="0"/>
    <n v="26"/>
    <n v="3"/>
    <x v="3"/>
    <x v="3"/>
    <x v="2"/>
    <n v="1"/>
    <n v="660"/>
    <d v="2024-12-25T00:00:00"/>
    <m/>
    <m/>
    <n v="660"/>
    <n v="0"/>
    <m/>
    <m/>
  </r>
  <r>
    <s v="C012"/>
    <s v="Hassan Hussain"/>
    <n v="0"/>
    <n v="43"/>
    <n v="1"/>
    <x v="2"/>
    <x v="3"/>
    <x v="0"/>
    <n v="8"/>
    <n v="4993"/>
    <d v="2024-06-22T00:00:00"/>
    <m/>
    <m/>
    <n v="39944"/>
    <m/>
    <m/>
    <m/>
  </r>
  <r>
    <s v="C013"/>
    <s v="Fatima Hussain"/>
    <n v="0"/>
    <n v="19"/>
    <n v="4"/>
    <x v="0"/>
    <x v="1"/>
    <x v="1"/>
    <n v="7"/>
    <n v="1800"/>
    <d v="2024-10-06T00:00:00"/>
    <m/>
    <m/>
    <n v="12600"/>
    <m/>
    <m/>
    <m/>
  </r>
  <r>
    <s v="C014"/>
    <s v="Zara Sheikh"/>
    <n v="0"/>
    <n v="37"/>
    <n v="3"/>
    <x v="0"/>
    <x v="0"/>
    <x v="0"/>
    <n v="2"/>
    <n v="4487"/>
    <d v="2024-04-23T00:00:00"/>
    <m/>
    <m/>
    <n v="8974"/>
    <m/>
    <m/>
    <m/>
  </r>
  <r>
    <s v="C015"/>
    <s v="Ali Malik"/>
    <n v="1"/>
    <n v="45"/>
    <n v="3"/>
    <x v="3"/>
    <x v="3"/>
    <x v="0"/>
    <n v="8"/>
    <n v="2027"/>
    <d v="2024-10-14T00:00:00"/>
    <m/>
    <m/>
    <n v="16216"/>
    <m/>
    <m/>
    <m/>
  </r>
  <r>
    <s v="C016"/>
    <s v="Usman Sheikh"/>
    <n v="0"/>
    <n v="24"/>
    <n v="1"/>
    <x v="0"/>
    <x v="2"/>
    <x v="2"/>
    <n v="1"/>
    <n v="1718"/>
    <d v="2024-12-07T00:00:00"/>
    <m/>
    <m/>
    <n v="1718"/>
    <m/>
    <m/>
    <m/>
  </r>
  <r>
    <s v="C017"/>
    <s v="Bilal Malik"/>
    <n v="1"/>
    <n v="25"/>
    <n v="3"/>
    <x v="2"/>
    <x v="3"/>
    <x v="3"/>
    <n v="9"/>
    <n v="4996"/>
    <d v="2024-05-30T00:00:00"/>
    <m/>
    <m/>
    <n v="44964"/>
    <m/>
    <m/>
    <m/>
  </r>
  <r>
    <s v="C018"/>
    <s v="Fatima Sheikh"/>
    <n v="1"/>
    <n v="52"/>
    <n v="1"/>
    <x v="3"/>
    <x v="3"/>
    <x v="3"/>
    <n v="9"/>
    <n v="3604"/>
    <d v="2024-05-06T00:00:00"/>
    <m/>
    <m/>
    <n v="32436"/>
    <m/>
    <m/>
    <m/>
  </r>
  <r>
    <s v="C019"/>
    <s v="Sara Khan"/>
    <n v="1"/>
    <n v="31"/>
    <n v="2"/>
    <x v="2"/>
    <x v="1"/>
    <x v="0"/>
    <n v="2"/>
    <n v="3235"/>
    <d v="2024-06-03T00:00:00"/>
    <m/>
    <m/>
    <n v="6470"/>
    <m/>
    <m/>
    <m/>
  </r>
  <r>
    <s v="C020"/>
    <s v="Usman Khan"/>
    <n v="0"/>
    <n v="34"/>
    <n v="3"/>
    <x v="3"/>
    <x v="1"/>
    <x v="1"/>
    <n v="7"/>
    <n v="1454"/>
    <d v="2024-09-29T00:00:00"/>
    <m/>
    <m/>
    <n v="10178"/>
    <m/>
    <m/>
    <m/>
  </r>
  <r>
    <s v="C021"/>
    <s v="Ayesha Sheikh"/>
    <n v="1"/>
    <n v="53"/>
    <n v="2"/>
    <x v="3"/>
    <x v="0"/>
    <x v="3"/>
    <n v="3"/>
    <n v="3946"/>
    <d v="2024-04-13T00:00:00"/>
    <m/>
    <m/>
    <n v="11838"/>
    <m/>
    <m/>
    <m/>
  </r>
  <r>
    <s v="C022"/>
    <s v="Zara Sheikh"/>
    <n v="0"/>
    <n v="57"/>
    <n v="1"/>
    <x v="1"/>
    <x v="2"/>
    <x v="1"/>
    <n v="7"/>
    <n v="1545"/>
    <d v="2024-10-25T00:00:00"/>
    <m/>
    <m/>
    <n v="10815"/>
    <m/>
    <m/>
    <m/>
  </r>
  <r>
    <s v="C023"/>
    <s v="Ali Ahmed"/>
    <n v="1"/>
    <n v="21"/>
    <n v="4"/>
    <x v="2"/>
    <x v="1"/>
    <x v="3"/>
    <n v="9"/>
    <n v="2193"/>
    <d v="2024-09-02T00:00:00"/>
    <m/>
    <m/>
    <n v="19737"/>
    <m/>
    <m/>
    <m/>
  </r>
  <r>
    <s v="C024"/>
    <s v="Hina Raza"/>
    <n v="1"/>
    <n v="19"/>
    <n v="3"/>
    <x v="0"/>
    <x v="3"/>
    <x v="1"/>
    <n v="4"/>
    <n v="3936"/>
    <d v="2024-06-24T00:00:00"/>
    <m/>
    <m/>
    <n v="15744"/>
    <m/>
    <m/>
    <m/>
  </r>
  <r>
    <s v="C025"/>
    <s v="Sara Hussain"/>
    <n v="1"/>
    <n v="23"/>
    <n v="1"/>
    <x v="0"/>
    <x v="0"/>
    <x v="2"/>
    <n v="1"/>
    <n v="1062"/>
    <d v="2024-02-08T00:00:00"/>
    <m/>
    <m/>
    <n v="1062"/>
    <m/>
    <m/>
    <m/>
  </r>
  <r>
    <s v="C026"/>
    <s v="Sara Raza"/>
    <n v="1"/>
    <n v="59"/>
    <n v="4"/>
    <x v="2"/>
    <x v="3"/>
    <x v="1"/>
    <n v="2"/>
    <n v="2985"/>
    <d v="2024-06-18T00:00:00"/>
    <m/>
    <m/>
    <n v="5970"/>
    <m/>
    <m/>
    <m/>
  </r>
  <r>
    <s v="C027"/>
    <s v="Bilal Ahmed"/>
    <n v="1"/>
    <n v="21"/>
    <n v="4"/>
    <x v="0"/>
    <x v="3"/>
    <x v="2"/>
    <n v="1"/>
    <n v="3854"/>
    <d v="2024-09-03T00:00:00"/>
    <m/>
    <m/>
    <n v="3854"/>
    <m/>
    <m/>
    <m/>
  </r>
  <r>
    <s v="C028"/>
    <s v="Zara Sheikh"/>
    <n v="1"/>
    <n v="46"/>
    <n v="2"/>
    <x v="0"/>
    <x v="1"/>
    <x v="2"/>
    <n v="5"/>
    <n v="725"/>
    <d v="2024-01-26T00:00:00"/>
    <m/>
    <m/>
    <n v="3625"/>
    <m/>
    <m/>
    <m/>
  </r>
  <r>
    <s v="C029"/>
    <s v="Zara Malik"/>
    <n v="1"/>
    <n v="35"/>
    <n v="1"/>
    <x v="2"/>
    <x v="0"/>
    <x v="1"/>
    <n v="5"/>
    <n v="1459"/>
    <d v="2024-12-20T00:00:00"/>
    <m/>
    <m/>
    <n v="7295"/>
    <m/>
    <m/>
    <m/>
  </r>
  <r>
    <s v="C030"/>
    <s v="Sara Khan"/>
    <n v="1"/>
    <n v="43"/>
    <n v="4"/>
    <x v="3"/>
    <x v="2"/>
    <x v="2"/>
    <n v="7"/>
    <n v="3567"/>
    <d v="2024-11-01T00:00:00"/>
    <m/>
    <m/>
    <n v="24969"/>
    <m/>
    <m/>
    <m/>
  </r>
  <r>
    <s v="C031"/>
    <s v="Fatima Sheikh"/>
    <n v="0"/>
    <n v="51"/>
    <n v="3"/>
    <x v="2"/>
    <x v="2"/>
    <x v="0"/>
    <n v="9"/>
    <n v="1315"/>
    <d v="2024-01-13T00:00:00"/>
    <m/>
    <m/>
    <n v="11835"/>
    <m/>
    <m/>
    <m/>
  </r>
  <r>
    <s v="C032"/>
    <s v="Sara Malik"/>
    <n v="0"/>
    <n v="27"/>
    <n v="3"/>
    <x v="3"/>
    <x v="1"/>
    <x v="2"/>
    <n v="9"/>
    <n v="3620"/>
    <d v="2024-11-11T00:00:00"/>
    <m/>
    <m/>
    <n v="32580"/>
    <m/>
    <m/>
    <m/>
  </r>
  <r>
    <s v="C033"/>
    <s v="Sara Hussain"/>
    <n v="1"/>
    <n v="53"/>
    <n v="2"/>
    <x v="0"/>
    <x v="1"/>
    <x v="3"/>
    <n v="3"/>
    <n v="516"/>
    <d v="2024-11-08T00:00:00"/>
    <m/>
    <m/>
    <n v="1548"/>
    <m/>
    <m/>
    <m/>
  </r>
  <r>
    <s v="C034"/>
    <s v="Bilal Hussain"/>
    <n v="1"/>
    <n v="31"/>
    <n v="4"/>
    <x v="0"/>
    <x v="0"/>
    <x v="1"/>
    <n v="3"/>
    <n v="1743"/>
    <d v="2024-02-05T00:00:00"/>
    <m/>
    <m/>
    <n v="5229"/>
    <m/>
    <m/>
    <m/>
  </r>
  <r>
    <s v="C035"/>
    <s v="Ayesha Malik"/>
    <n v="1"/>
    <n v="48"/>
    <n v="1"/>
    <x v="0"/>
    <x v="2"/>
    <x v="0"/>
    <n v="3"/>
    <n v="2705"/>
    <d v="2024-06-21T00:00:00"/>
    <m/>
    <m/>
    <n v="8115"/>
    <m/>
    <m/>
    <m/>
  </r>
  <r>
    <s v="C036"/>
    <s v="Ayesha Sheikh"/>
    <n v="0"/>
    <n v="32"/>
    <n v="3"/>
    <x v="1"/>
    <x v="2"/>
    <x v="1"/>
    <n v="4"/>
    <n v="3024"/>
    <d v="2024-01-20T00:00:00"/>
    <m/>
    <m/>
    <n v="12096"/>
    <m/>
    <m/>
    <m/>
  </r>
  <r>
    <s v="C037"/>
    <s v="Fatima Ahmed"/>
    <n v="1"/>
    <n v="25"/>
    <n v="4"/>
    <x v="3"/>
    <x v="2"/>
    <x v="3"/>
    <n v="8"/>
    <n v="1569"/>
    <d v="2024-11-16T00:00:00"/>
    <m/>
    <m/>
    <n v="12552"/>
    <m/>
    <m/>
    <m/>
  </r>
  <r>
    <s v="C038"/>
    <s v="Bilal Ahmed"/>
    <n v="0"/>
    <n v="31"/>
    <n v="4"/>
    <x v="1"/>
    <x v="3"/>
    <x v="3"/>
    <n v="6"/>
    <n v="3944"/>
    <d v="2024-09-20T00:00:00"/>
    <m/>
    <m/>
    <n v="23664"/>
    <m/>
    <m/>
    <m/>
  </r>
  <r>
    <s v="C039"/>
    <s v="Sara Raza"/>
    <n v="0"/>
    <n v="40"/>
    <n v="2"/>
    <x v="1"/>
    <x v="2"/>
    <x v="3"/>
    <n v="8"/>
    <n v="3065"/>
    <d v="2024-05-21T00:00:00"/>
    <m/>
    <m/>
    <n v="24520"/>
    <m/>
    <m/>
    <m/>
  </r>
  <r>
    <s v="C040"/>
    <s v="Ahmed Raza"/>
    <n v="0"/>
    <n v="57"/>
    <n v="3"/>
    <x v="2"/>
    <x v="3"/>
    <x v="2"/>
    <n v="1"/>
    <n v="1560"/>
    <d v="2024-05-22T00:00:00"/>
    <m/>
    <m/>
    <n v="1560"/>
    <m/>
    <m/>
    <m/>
  </r>
  <r>
    <s v="C041"/>
    <s v="Fatima Malik"/>
    <n v="0"/>
    <n v="38"/>
    <n v="3"/>
    <x v="1"/>
    <x v="0"/>
    <x v="2"/>
    <n v="8"/>
    <n v="2827"/>
    <d v="2024-04-01T00:00:00"/>
    <m/>
    <m/>
    <n v="22616"/>
    <m/>
    <m/>
    <m/>
  </r>
  <r>
    <s v="C042"/>
    <s v="Hina Hussain"/>
    <n v="0"/>
    <n v="33"/>
    <n v="1"/>
    <x v="2"/>
    <x v="3"/>
    <x v="1"/>
    <n v="4"/>
    <n v="3920"/>
    <d v="2024-12-19T00:00:00"/>
    <m/>
    <m/>
    <n v="15680"/>
    <m/>
    <m/>
    <m/>
  </r>
  <r>
    <s v="C043"/>
    <s v="Bilal Ahmed"/>
    <n v="1"/>
    <n v="35"/>
    <n v="3"/>
    <x v="2"/>
    <x v="0"/>
    <x v="1"/>
    <n v="1"/>
    <n v="801"/>
    <d v="2024-11-17T00:00:00"/>
    <m/>
    <m/>
    <n v="801"/>
    <m/>
    <m/>
    <m/>
  </r>
  <r>
    <s v="C044"/>
    <s v="Hassan Malik"/>
    <n v="1"/>
    <n v="41"/>
    <n v="1"/>
    <x v="1"/>
    <x v="2"/>
    <x v="0"/>
    <n v="8"/>
    <n v="4776"/>
    <d v="2024-10-14T00:00:00"/>
    <m/>
    <m/>
    <n v="38208"/>
    <m/>
    <m/>
    <m/>
  </r>
  <r>
    <s v="C045"/>
    <s v="Ayesha Khan"/>
    <n v="1"/>
    <n v="43"/>
    <n v="3"/>
    <x v="3"/>
    <x v="2"/>
    <x v="0"/>
    <n v="4"/>
    <n v="1106"/>
    <d v="2024-08-02T00:00:00"/>
    <m/>
    <m/>
    <n v="4424"/>
    <m/>
    <m/>
    <m/>
  </r>
  <r>
    <s v="C046"/>
    <s v="Fatima Khan"/>
    <n v="1"/>
    <n v="42"/>
    <n v="2"/>
    <x v="3"/>
    <x v="0"/>
    <x v="1"/>
    <n v="6"/>
    <n v="3670"/>
    <d v="2024-12-07T00:00:00"/>
    <m/>
    <m/>
    <n v="22020"/>
    <m/>
    <m/>
    <m/>
  </r>
  <r>
    <s v="C047"/>
    <s v="Ayesha Hussain"/>
    <n v="1"/>
    <n v="58"/>
    <n v="3"/>
    <x v="3"/>
    <x v="1"/>
    <x v="2"/>
    <n v="8"/>
    <n v="1199"/>
    <d v="2024-02-20T00:00:00"/>
    <m/>
    <m/>
    <n v="9592"/>
    <m/>
    <m/>
    <m/>
  </r>
  <r>
    <s v="C048"/>
    <s v="Bilal Khan"/>
    <n v="0"/>
    <n v="46"/>
    <n v="1"/>
    <x v="3"/>
    <x v="0"/>
    <x v="3"/>
    <n v="4"/>
    <n v="1639"/>
    <d v="2024-06-01T00:00:00"/>
    <m/>
    <m/>
    <n v="6556"/>
    <m/>
    <m/>
    <m/>
  </r>
  <r>
    <s v="C049"/>
    <s v="Fatima Raza"/>
    <n v="1"/>
    <n v="32"/>
    <n v="1"/>
    <x v="3"/>
    <x v="1"/>
    <x v="1"/>
    <n v="3"/>
    <n v="690"/>
    <d v="2024-07-04T00:00:00"/>
    <m/>
    <m/>
    <n v="2070"/>
    <m/>
    <m/>
    <m/>
  </r>
  <r>
    <s v="C050"/>
    <s v="Ayesha Malik"/>
    <n v="1"/>
    <n v="18"/>
    <n v="2"/>
    <x v="1"/>
    <x v="3"/>
    <x v="0"/>
    <n v="9"/>
    <n v="2800"/>
    <d v="2024-03-03T00:00:00"/>
    <m/>
    <m/>
    <n v="2520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6114A-337B-4F1A-8D2F-DA919F007ABB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7">
    <pivotField showAll="0"/>
    <pivotField showAll="0"/>
    <pivotField numFmtId="1" showAll="0"/>
    <pivotField numFmtId="1" showAll="0"/>
    <pivotField numFmtId="1"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3"/>
        <item x="1"/>
        <item x="2"/>
        <item x="0"/>
        <item t="default"/>
      </items>
    </pivotField>
    <pivotField showAll="0"/>
    <pivotField numFmtId="1" showAll="0"/>
    <pivotField numFmtId="166" showAll="0"/>
    <pivotField numFmtId="168" showAll="0"/>
    <pivotField showAll="0"/>
    <pivotField showAll="0"/>
    <pivotField dataField="1" numFmtId="166" showAll="0"/>
    <pivotField showAll="0"/>
    <pivotField showAll="0"/>
    <pivotField showAll="0"/>
  </pivotFields>
  <rowFields count="1">
    <field x="5"/>
  </rowFields>
  <rowItems count="5">
    <i>
      <x v="2"/>
    </i>
    <i>
      <x v="3"/>
    </i>
    <i>
      <x v="1"/>
    </i>
    <i>
      <x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Sales" fld="13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E6E44E-3DA2-48FE-A60D-98A3294BB7BC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7">
    <pivotField showAll="0"/>
    <pivotField showAll="0"/>
    <pivotField numFmtId="1" showAll="0"/>
    <pivotField numFmtId="1" showAll="0"/>
    <pivotField numFmtId="1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numFmtId="1" showAll="0"/>
    <pivotField numFmtId="166" showAll="0"/>
    <pivotField numFmtId="168" showAll="0"/>
    <pivotField showAll="0"/>
    <pivotField showAll="0"/>
    <pivotField dataField="1" numFmtId="166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Sales" fld="13" baseField="7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E3E8-AE22-45B9-AA14-8EBB34536224}">
  <dimension ref="A3:F9"/>
  <sheetViews>
    <sheetView workbookViewId="0">
      <selection activeCell="A4" sqref="A4"/>
    </sheetView>
  </sheetViews>
  <sheetFormatPr defaultRowHeight="14.4" x14ac:dyDescent="0.3"/>
  <cols>
    <col min="1" max="1" width="16" bestFit="1" customWidth="1"/>
    <col min="2" max="2" width="15.5546875" bestFit="1" customWidth="1"/>
    <col min="3" max="5" width="9.44140625" bestFit="1" customWidth="1"/>
    <col min="6" max="6" width="10.77734375" bestFit="1" customWidth="1"/>
  </cols>
  <sheetData>
    <row r="3" spans="1:6" x14ac:dyDescent="0.3">
      <c r="A3" s="12" t="s">
        <v>120</v>
      </c>
      <c r="B3" s="12" t="s">
        <v>121</v>
      </c>
    </row>
    <row r="4" spans="1:6" x14ac:dyDescent="0.3">
      <c r="A4" s="12" t="s">
        <v>118</v>
      </c>
      <c r="B4" t="s">
        <v>102</v>
      </c>
      <c r="C4" t="s">
        <v>100</v>
      </c>
      <c r="D4" t="s">
        <v>101</v>
      </c>
      <c r="E4" t="s">
        <v>99</v>
      </c>
      <c r="F4" t="s">
        <v>119</v>
      </c>
    </row>
    <row r="5" spans="1:6" x14ac:dyDescent="0.3">
      <c r="A5" s="13" t="s">
        <v>96</v>
      </c>
      <c r="B5" s="6">
        <v>89967</v>
      </c>
      <c r="C5" s="6"/>
      <c r="D5" s="6">
        <v>99483</v>
      </c>
      <c r="E5" s="6">
        <v>28440</v>
      </c>
      <c r="F5" s="6">
        <v>217890</v>
      </c>
    </row>
    <row r="6" spans="1:6" x14ac:dyDescent="0.3">
      <c r="A6" s="13" t="s">
        <v>98</v>
      </c>
      <c r="B6" s="6">
        <v>49312</v>
      </c>
      <c r="C6" s="6">
        <v>54420</v>
      </c>
      <c r="D6" s="6">
        <v>41945</v>
      </c>
      <c r="E6" s="6">
        <v>40414</v>
      </c>
      <c r="F6" s="6">
        <v>186091</v>
      </c>
    </row>
    <row r="7" spans="1:6" x14ac:dyDescent="0.3">
      <c r="A7" s="13" t="s">
        <v>97</v>
      </c>
      <c r="B7" s="6">
        <v>108118</v>
      </c>
      <c r="C7" s="6">
        <v>26207</v>
      </c>
      <c r="D7" s="6">
        <v>21942</v>
      </c>
      <c r="E7" s="6">
        <v>8096</v>
      </c>
      <c r="F7" s="6">
        <v>164363</v>
      </c>
    </row>
    <row r="8" spans="1:6" x14ac:dyDescent="0.3">
      <c r="A8" s="13" t="s">
        <v>95</v>
      </c>
      <c r="B8" s="6">
        <v>34534</v>
      </c>
      <c r="C8" s="6">
        <v>71441</v>
      </c>
      <c r="D8" s="6">
        <v>9833</v>
      </c>
      <c r="E8" s="6">
        <v>31858</v>
      </c>
      <c r="F8" s="6">
        <v>147666</v>
      </c>
    </row>
    <row r="9" spans="1:6" x14ac:dyDescent="0.3">
      <c r="A9" s="13" t="s">
        <v>119</v>
      </c>
      <c r="B9" s="6">
        <v>281931</v>
      </c>
      <c r="C9" s="6">
        <v>152068</v>
      </c>
      <c r="D9" s="6">
        <v>173203</v>
      </c>
      <c r="E9" s="6">
        <v>108808</v>
      </c>
      <c r="F9" s="6">
        <v>716010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25BC-7319-40BC-9AE3-4575404751CB}">
  <dimension ref="A3:B8"/>
  <sheetViews>
    <sheetView tabSelected="1" workbookViewId="0">
      <selection activeCell="H15" sqref="H15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12" t="s">
        <v>118</v>
      </c>
      <c r="B3" t="s">
        <v>120</v>
      </c>
    </row>
    <row r="4" spans="1:2" x14ac:dyDescent="0.3">
      <c r="A4" s="13" t="s">
        <v>106</v>
      </c>
      <c r="B4" s="14">
        <v>1</v>
      </c>
    </row>
    <row r="5" spans="1:2" x14ac:dyDescent="0.3">
      <c r="A5" s="13" t="s">
        <v>103</v>
      </c>
      <c r="B5" s="14">
        <v>2</v>
      </c>
    </row>
    <row r="6" spans="1:2" x14ac:dyDescent="0.3">
      <c r="A6" s="13" t="s">
        <v>105</v>
      </c>
      <c r="B6" s="14">
        <v>4</v>
      </c>
    </row>
    <row r="7" spans="1:2" x14ac:dyDescent="0.3">
      <c r="A7" s="13" t="s">
        <v>104</v>
      </c>
      <c r="B7" s="14">
        <v>3</v>
      </c>
    </row>
    <row r="8" spans="1:2" x14ac:dyDescent="0.3">
      <c r="A8" s="13" t="s">
        <v>119</v>
      </c>
      <c r="B8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4FE8-99B3-44A7-908A-838702E0E12E}">
  <dimension ref="A1:B15"/>
  <sheetViews>
    <sheetView workbookViewId="0">
      <selection activeCell="E14" sqref="E14"/>
    </sheetView>
  </sheetViews>
  <sheetFormatPr defaultRowHeight="14.4" x14ac:dyDescent="0.3"/>
  <sheetData>
    <row r="1" spans="1:2" x14ac:dyDescent="0.3">
      <c r="A1" s="17">
        <v>3</v>
      </c>
      <c r="B1" s="17"/>
    </row>
    <row r="2" spans="1:2" x14ac:dyDescent="0.3">
      <c r="A2" s="15"/>
      <c r="B2" s="15"/>
    </row>
    <row r="3" spans="1:2" x14ac:dyDescent="0.3">
      <c r="A3" s="15" t="s">
        <v>122</v>
      </c>
      <c r="B3" s="15">
        <v>5.0612244897959187</v>
      </c>
    </row>
    <row r="4" spans="1:2" x14ac:dyDescent="0.3">
      <c r="A4" s="15" t="s">
        <v>123</v>
      </c>
      <c r="B4" s="15">
        <v>0.391673718924756</v>
      </c>
    </row>
    <row r="5" spans="1:2" x14ac:dyDescent="0.3">
      <c r="A5" s="15" t="s">
        <v>124</v>
      </c>
      <c r="B5" s="15">
        <v>4</v>
      </c>
    </row>
    <row r="6" spans="1:2" x14ac:dyDescent="0.3">
      <c r="A6" s="15" t="s">
        <v>125</v>
      </c>
      <c r="B6" s="15">
        <v>4</v>
      </c>
    </row>
    <row r="7" spans="1:2" x14ac:dyDescent="0.3">
      <c r="A7" s="15" t="s">
        <v>126</v>
      </c>
      <c r="B7" s="15">
        <v>2.7417160324732919</v>
      </c>
    </row>
    <row r="8" spans="1:2" x14ac:dyDescent="0.3">
      <c r="A8" s="15" t="s">
        <v>127</v>
      </c>
      <c r="B8" s="15">
        <v>7.517006802721089</v>
      </c>
    </row>
    <row r="9" spans="1:2" x14ac:dyDescent="0.3">
      <c r="A9" s="15" t="s">
        <v>128</v>
      </c>
      <c r="B9" s="15">
        <v>-1.3876756225022215</v>
      </c>
    </row>
    <row r="10" spans="1:2" x14ac:dyDescent="0.3">
      <c r="A10" s="15" t="s">
        <v>129</v>
      </c>
      <c r="B10" s="15">
        <v>7.8741797277529502E-2</v>
      </c>
    </row>
    <row r="11" spans="1:2" x14ac:dyDescent="0.3">
      <c r="A11" s="15" t="s">
        <v>130</v>
      </c>
      <c r="B11" s="15">
        <v>8</v>
      </c>
    </row>
    <row r="12" spans="1:2" x14ac:dyDescent="0.3">
      <c r="A12" s="15" t="s">
        <v>131</v>
      </c>
      <c r="B12" s="15">
        <v>1</v>
      </c>
    </row>
    <row r="13" spans="1:2" x14ac:dyDescent="0.3">
      <c r="A13" s="15" t="s">
        <v>132</v>
      </c>
      <c r="B13" s="15">
        <v>9</v>
      </c>
    </row>
    <row r="14" spans="1:2" x14ac:dyDescent="0.3">
      <c r="A14" s="15" t="s">
        <v>133</v>
      </c>
      <c r="B14" s="15">
        <v>248</v>
      </c>
    </row>
    <row r="15" spans="1:2" ht="15" thickBot="1" x14ac:dyDescent="0.35">
      <c r="A15" s="16" t="s">
        <v>134</v>
      </c>
      <c r="B15" s="16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opLeftCell="D1" zoomScale="80" workbookViewId="0">
      <selection activeCell="R1" sqref="R1"/>
    </sheetView>
  </sheetViews>
  <sheetFormatPr defaultRowHeight="14.4" x14ac:dyDescent="0.3"/>
  <cols>
    <col min="1" max="1" width="13.44140625" style="2" customWidth="1"/>
    <col min="2" max="2" width="21.77734375" style="2" customWidth="1"/>
    <col min="3" max="4" width="8.88671875" style="4"/>
    <col min="5" max="5" width="16.6640625" style="4" customWidth="1"/>
    <col min="6" max="6" width="8.88671875" style="2"/>
    <col min="7" max="7" width="12.6640625" style="2" customWidth="1"/>
    <col min="8" max="8" width="16.88671875" style="2" customWidth="1"/>
    <col min="9" max="9" width="8.88671875" style="4"/>
    <col min="10" max="10" width="9.88671875" style="6" bestFit="1" customWidth="1"/>
    <col min="11" max="11" width="24.109375" style="8" customWidth="1"/>
    <col min="12" max="12" width="27.44140625" customWidth="1"/>
    <col min="13" max="13" width="29.88671875" customWidth="1"/>
    <col min="14" max="14" width="21.33203125" style="6" customWidth="1"/>
    <col min="15" max="15" width="28.33203125" customWidth="1"/>
    <col min="16" max="16" width="28" customWidth="1"/>
    <col min="17" max="17" width="24.44140625" customWidth="1"/>
  </cols>
  <sheetData>
    <row r="1" spans="1:17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5" t="s">
        <v>9</v>
      </c>
      <c r="K1" s="7" t="s">
        <v>10</v>
      </c>
      <c r="L1" s="9" t="s">
        <v>111</v>
      </c>
      <c r="M1" t="s">
        <v>112</v>
      </c>
      <c r="N1" s="11" t="s">
        <v>113</v>
      </c>
      <c r="O1" s="10" t="s">
        <v>114</v>
      </c>
      <c r="P1" s="10" t="s">
        <v>115</v>
      </c>
      <c r="Q1" s="10" t="s">
        <v>116</v>
      </c>
    </row>
    <row r="2" spans="1:17" x14ac:dyDescent="0.3">
      <c r="A2" s="2" t="s">
        <v>11</v>
      </c>
      <c r="B2" s="2" t="s">
        <v>61</v>
      </c>
      <c r="C2" s="4">
        <v>0</v>
      </c>
      <c r="D2" s="4">
        <v>20</v>
      </c>
      <c r="E2" s="4">
        <v>1</v>
      </c>
      <c r="F2" s="2" t="s">
        <v>95</v>
      </c>
      <c r="G2" s="2" t="s">
        <v>99</v>
      </c>
      <c r="H2" s="2" t="s">
        <v>103</v>
      </c>
      <c r="I2" s="4">
        <v>3</v>
      </c>
      <c r="J2" s="6">
        <v>598</v>
      </c>
      <c r="K2" s="8">
        <v>45452</v>
      </c>
      <c r="L2" s="10" t="s">
        <v>107</v>
      </c>
      <c r="M2" s="10" t="s">
        <v>109</v>
      </c>
      <c r="N2" s="6">
        <f>I2 * J2</f>
        <v>1794</v>
      </c>
      <c r="O2" t="str" cm="1">
        <f t="array" ref="O2:O5">_xlfn.UNIQUE(H2:H51)</f>
        <v>Electronics</v>
      </c>
      <c r="P2">
        <f>COUNTIF(H2:H51, O2)</f>
        <v>13</v>
      </c>
      <c r="Q2">
        <f>COUNTIF(F$2:F$100, O8)</f>
        <v>16</v>
      </c>
    </row>
    <row r="3" spans="1:17" x14ac:dyDescent="0.3">
      <c r="A3" s="2" t="s">
        <v>12</v>
      </c>
      <c r="B3" s="2" t="s">
        <v>62</v>
      </c>
      <c r="C3" s="4">
        <v>1</v>
      </c>
      <c r="D3" s="4">
        <v>54</v>
      </c>
      <c r="E3" s="4">
        <v>3</v>
      </c>
      <c r="F3" s="2" t="s">
        <v>95</v>
      </c>
      <c r="G3" s="2" t="s">
        <v>100</v>
      </c>
      <c r="H3" s="2" t="s">
        <v>103</v>
      </c>
      <c r="I3" s="4">
        <v>4</v>
      </c>
      <c r="J3" s="6">
        <v>2700</v>
      </c>
      <c r="K3" s="8">
        <v>45547</v>
      </c>
      <c r="L3" s="2">
        <f>COUNTA(A:A)-1</f>
        <v>50</v>
      </c>
      <c r="M3" s="4">
        <f>MAX(E2:E1001)</f>
        <v>4</v>
      </c>
      <c r="N3" s="6">
        <f t="shared" ref="N3:N51" si="0">I3 * J3</f>
        <v>10800</v>
      </c>
      <c r="O3" t="str">
        <v>Grocery</v>
      </c>
      <c r="P3">
        <f t="shared" ref="P3:P5" si="1">COUNTIF(H3:H52, O3)</f>
        <v>14</v>
      </c>
      <c r="Q3">
        <f t="shared" ref="Q3:Q5" si="2">COUNTIF(F$2:F$100, O9)</f>
        <v>10</v>
      </c>
    </row>
    <row r="4" spans="1:17" x14ac:dyDescent="0.3">
      <c r="A4" s="2" t="s">
        <v>13</v>
      </c>
      <c r="B4" s="2" t="s">
        <v>63</v>
      </c>
      <c r="C4" s="4">
        <v>0</v>
      </c>
      <c r="D4" s="4">
        <v>24</v>
      </c>
      <c r="E4" s="4">
        <v>1</v>
      </c>
      <c r="F4" s="2" t="s">
        <v>96</v>
      </c>
      <c r="G4" s="2" t="s">
        <v>101</v>
      </c>
      <c r="H4" s="2" t="s">
        <v>104</v>
      </c>
      <c r="I4" s="4">
        <v>4</v>
      </c>
      <c r="J4" s="6">
        <v>3461</v>
      </c>
      <c r="K4" s="8">
        <v>45614</v>
      </c>
      <c r="L4" s="10" t="s">
        <v>108</v>
      </c>
      <c r="M4" s="10" t="s">
        <v>110</v>
      </c>
      <c r="N4" s="6">
        <f t="shared" si="0"/>
        <v>13844</v>
      </c>
      <c r="O4" t="str">
        <v>Furniture</v>
      </c>
      <c r="P4">
        <f t="shared" si="1"/>
        <v>11</v>
      </c>
      <c r="Q4">
        <f t="shared" si="2"/>
        <v>11</v>
      </c>
    </row>
    <row r="5" spans="1:17" x14ac:dyDescent="0.3">
      <c r="A5" s="2" t="s">
        <v>14</v>
      </c>
      <c r="B5" s="2" t="s">
        <v>64</v>
      </c>
      <c r="C5" s="4">
        <v>0</v>
      </c>
      <c r="D5" s="4">
        <v>38</v>
      </c>
      <c r="E5" s="4">
        <v>4</v>
      </c>
      <c r="F5" s="2" t="s">
        <v>95</v>
      </c>
      <c r="G5" s="2" t="s">
        <v>99</v>
      </c>
      <c r="H5" s="2" t="s">
        <v>103</v>
      </c>
      <c r="I5" s="4">
        <v>3</v>
      </c>
      <c r="J5" s="6">
        <v>4933</v>
      </c>
      <c r="K5" s="8">
        <v>45419</v>
      </c>
      <c r="L5" s="4">
        <f>AVERAGE(D2:D1001)</f>
        <v>36.82</v>
      </c>
      <c r="M5" s="4">
        <f>MIN(E2:E1001)</f>
        <v>1</v>
      </c>
      <c r="N5" s="6">
        <f t="shared" si="0"/>
        <v>14799</v>
      </c>
      <c r="O5" t="str">
        <v>Clothing</v>
      </c>
      <c r="P5">
        <f t="shared" si="1"/>
        <v>12</v>
      </c>
      <c r="Q5">
        <f t="shared" si="2"/>
        <v>13</v>
      </c>
    </row>
    <row r="6" spans="1:17" x14ac:dyDescent="0.3">
      <c r="A6" s="2" t="s">
        <v>15</v>
      </c>
      <c r="B6" s="2" t="s">
        <v>65</v>
      </c>
      <c r="C6" s="4">
        <v>0</v>
      </c>
      <c r="D6" s="4">
        <v>26</v>
      </c>
      <c r="E6" s="4">
        <v>1</v>
      </c>
      <c r="F6" s="2" t="s">
        <v>95</v>
      </c>
      <c r="G6" s="2" t="s">
        <v>100</v>
      </c>
      <c r="H6" s="2" t="s">
        <v>105</v>
      </c>
      <c r="I6" s="4">
        <v>3</v>
      </c>
      <c r="J6" s="6">
        <v>4277</v>
      </c>
      <c r="K6" s="8">
        <v>45309</v>
      </c>
      <c r="N6" s="6">
        <f t="shared" si="0"/>
        <v>12831</v>
      </c>
    </row>
    <row r="7" spans="1:17" x14ac:dyDescent="0.3">
      <c r="A7" s="2" t="s">
        <v>16</v>
      </c>
      <c r="B7" s="2" t="s">
        <v>66</v>
      </c>
      <c r="C7" s="4">
        <v>1</v>
      </c>
      <c r="D7" s="4">
        <v>56</v>
      </c>
      <c r="E7" s="4">
        <v>4</v>
      </c>
      <c r="F7" s="2" t="s">
        <v>97</v>
      </c>
      <c r="G7" s="2" t="s">
        <v>101</v>
      </c>
      <c r="H7" s="2" t="s">
        <v>103</v>
      </c>
      <c r="I7" s="4">
        <v>3</v>
      </c>
      <c r="J7" s="6">
        <v>3369</v>
      </c>
      <c r="K7" s="8">
        <v>45572</v>
      </c>
      <c r="N7" s="6">
        <f t="shared" si="0"/>
        <v>10107</v>
      </c>
      <c r="O7" s="10" t="s">
        <v>117</v>
      </c>
    </row>
    <row r="8" spans="1:17" x14ac:dyDescent="0.3">
      <c r="A8" s="2" t="s">
        <v>17</v>
      </c>
      <c r="B8" s="2" t="s">
        <v>67</v>
      </c>
      <c r="C8" s="4">
        <v>0</v>
      </c>
      <c r="D8" s="4">
        <v>35</v>
      </c>
      <c r="E8" s="4">
        <v>4</v>
      </c>
      <c r="F8" s="2" t="s">
        <v>95</v>
      </c>
      <c r="G8" s="2" t="s">
        <v>102</v>
      </c>
      <c r="H8" s="2" t="s">
        <v>106</v>
      </c>
      <c r="I8" s="4">
        <v>4</v>
      </c>
      <c r="J8" s="6">
        <v>3734</v>
      </c>
      <c r="K8" s="8">
        <v>45514</v>
      </c>
      <c r="N8" s="6">
        <f t="shared" si="0"/>
        <v>14936</v>
      </c>
      <c r="O8" t="str" cm="1">
        <f t="array" ref="O8:O12">_xlfn.UNIQUE(F2:F100)</f>
        <v>East</v>
      </c>
    </row>
    <row r="9" spans="1:17" x14ac:dyDescent="0.3">
      <c r="A9" s="2" t="s">
        <v>18</v>
      </c>
      <c r="B9" s="2" t="s">
        <v>68</v>
      </c>
      <c r="C9" s="4">
        <v>0</v>
      </c>
      <c r="D9" s="4">
        <v>21</v>
      </c>
      <c r="E9" s="4">
        <v>4</v>
      </c>
      <c r="F9" s="2" t="s">
        <v>95</v>
      </c>
      <c r="G9" s="2" t="s">
        <v>100</v>
      </c>
      <c r="H9" s="2" t="s">
        <v>106</v>
      </c>
      <c r="I9" s="4">
        <v>7</v>
      </c>
      <c r="J9" s="6">
        <v>4291</v>
      </c>
      <c r="K9" s="8">
        <v>45345</v>
      </c>
      <c r="N9" s="6">
        <f t="shared" si="0"/>
        <v>30037</v>
      </c>
      <c r="O9" t="str">
        <v>South</v>
      </c>
    </row>
    <row r="10" spans="1:17" x14ac:dyDescent="0.3">
      <c r="A10" s="2" t="s">
        <v>19</v>
      </c>
      <c r="B10" s="2" t="s">
        <v>69</v>
      </c>
      <c r="C10" s="4">
        <v>0</v>
      </c>
      <c r="D10" s="4">
        <v>42</v>
      </c>
      <c r="E10" s="4">
        <v>3</v>
      </c>
      <c r="F10" s="2" t="s">
        <v>96</v>
      </c>
      <c r="G10" s="2" t="s">
        <v>99</v>
      </c>
      <c r="H10" s="2" t="s">
        <v>104</v>
      </c>
      <c r="I10" s="4">
        <v>4</v>
      </c>
      <c r="J10" s="6">
        <v>1456</v>
      </c>
      <c r="K10" s="8">
        <v>45349</v>
      </c>
      <c r="N10" s="6">
        <f t="shared" si="0"/>
        <v>5824</v>
      </c>
      <c r="O10" t="str">
        <v>North</v>
      </c>
    </row>
    <row r="11" spans="1:17" x14ac:dyDescent="0.3">
      <c r="A11" s="2" t="s">
        <v>20</v>
      </c>
      <c r="B11" s="2" t="s">
        <v>70</v>
      </c>
      <c r="C11" s="4">
        <v>1</v>
      </c>
      <c r="D11" s="4">
        <v>31</v>
      </c>
      <c r="E11" s="4">
        <v>3</v>
      </c>
      <c r="F11" s="2" t="s">
        <v>96</v>
      </c>
      <c r="G11" s="2" t="s">
        <v>102</v>
      </c>
      <c r="H11" s="2" t="s">
        <v>106</v>
      </c>
      <c r="I11" s="4">
        <v>9</v>
      </c>
      <c r="J11" s="6">
        <v>4567</v>
      </c>
      <c r="K11" s="8">
        <v>45614</v>
      </c>
      <c r="N11" s="6">
        <f t="shared" si="0"/>
        <v>41103</v>
      </c>
      <c r="O11" t="str">
        <v>West</v>
      </c>
    </row>
    <row r="12" spans="1:17" x14ac:dyDescent="0.3">
      <c r="A12" s="2" t="s">
        <v>21</v>
      </c>
      <c r="B12" s="2" t="s">
        <v>71</v>
      </c>
      <c r="C12" s="4">
        <v>0</v>
      </c>
      <c r="D12" s="4">
        <v>26</v>
      </c>
      <c r="E12" s="4">
        <v>3</v>
      </c>
      <c r="F12" s="2" t="s">
        <v>98</v>
      </c>
      <c r="G12" s="2" t="s">
        <v>102</v>
      </c>
      <c r="H12" s="2" t="s">
        <v>105</v>
      </c>
      <c r="I12" s="4">
        <v>1</v>
      </c>
      <c r="J12" s="6">
        <v>660</v>
      </c>
      <c r="K12" s="8">
        <v>45651</v>
      </c>
      <c r="N12" s="6">
        <f t="shared" si="0"/>
        <v>660</v>
      </c>
      <c r="O12">
        <v>0</v>
      </c>
    </row>
    <row r="13" spans="1:17" x14ac:dyDescent="0.3">
      <c r="A13" s="2" t="s">
        <v>22</v>
      </c>
      <c r="B13" s="2" t="s">
        <v>72</v>
      </c>
      <c r="C13" s="4">
        <v>0</v>
      </c>
      <c r="D13" s="4">
        <v>43</v>
      </c>
      <c r="E13" s="4">
        <v>1</v>
      </c>
      <c r="F13" s="2" t="s">
        <v>97</v>
      </c>
      <c r="G13" s="2" t="s">
        <v>102</v>
      </c>
      <c r="H13" s="2" t="s">
        <v>103</v>
      </c>
      <c r="I13" s="4">
        <v>8</v>
      </c>
      <c r="J13" s="6">
        <v>4993</v>
      </c>
      <c r="K13" s="8">
        <v>45465</v>
      </c>
      <c r="N13" s="6">
        <f t="shared" si="0"/>
        <v>39944</v>
      </c>
    </row>
    <row r="14" spans="1:17" x14ac:dyDescent="0.3">
      <c r="A14" s="2" t="s">
        <v>23</v>
      </c>
      <c r="B14" s="2" t="s">
        <v>73</v>
      </c>
      <c r="C14" s="4">
        <v>0</v>
      </c>
      <c r="D14" s="4">
        <v>19</v>
      </c>
      <c r="E14" s="4">
        <v>4</v>
      </c>
      <c r="F14" s="2" t="s">
        <v>95</v>
      </c>
      <c r="G14" s="2" t="s">
        <v>100</v>
      </c>
      <c r="H14" s="2" t="s">
        <v>104</v>
      </c>
      <c r="I14" s="4">
        <v>7</v>
      </c>
      <c r="J14" s="6">
        <v>1800</v>
      </c>
      <c r="K14" s="8">
        <v>45571</v>
      </c>
      <c r="N14" s="6">
        <f t="shared" si="0"/>
        <v>12600</v>
      </c>
    </row>
    <row r="15" spans="1:17" x14ac:dyDescent="0.3">
      <c r="A15" s="2" t="s">
        <v>24</v>
      </c>
      <c r="B15" s="2" t="s">
        <v>74</v>
      </c>
      <c r="C15" s="4">
        <v>0</v>
      </c>
      <c r="D15" s="4">
        <v>37</v>
      </c>
      <c r="E15" s="4">
        <v>3</v>
      </c>
      <c r="F15" s="2" t="s">
        <v>95</v>
      </c>
      <c r="G15" s="2" t="s">
        <v>99</v>
      </c>
      <c r="H15" s="2" t="s">
        <v>103</v>
      </c>
      <c r="I15" s="4">
        <v>2</v>
      </c>
      <c r="J15" s="6">
        <v>4487</v>
      </c>
      <c r="K15" s="8">
        <v>45405</v>
      </c>
      <c r="N15" s="6">
        <f t="shared" si="0"/>
        <v>8974</v>
      </c>
    </row>
    <row r="16" spans="1:17" x14ac:dyDescent="0.3">
      <c r="A16" s="2" t="s">
        <v>25</v>
      </c>
      <c r="B16" s="2" t="s">
        <v>75</v>
      </c>
      <c r="C16" s="4">
        <v>1</v>
      </c>
      <c r="D16" s="4">
        <v>45</v>
      </c>
      <c r="E16" s="4">
        <v>3</v>
      </c>
      <c r="F16" s="2" t="s">
        <v>98</v>
      </c>
      <c r="G16" s="2" t="s">
        <v>102</v>
      </c>
      <c r="H16" s="2" t="s">
        <v>103</v>
      </c>
      <c r="I16" s="4">
        <v>8</v>
      </c>
      <c r="J16" s="6">
        <v>2027</v>
      </c>
      <c r="K16" s="8">
        <v>45579</v>
      </c>
      <c r="N16" s="6">
        <f t="shared" si="0"/>
        <v>16216</v>
      </c>
    </row>
    <row r="17" spans="1:14" x14ac:dyDescent="0.3">
      <c r="A17" s="2" t="s">
        <v>26</v>
      </c>
      <c r="B17" s="2" t="s">
        <v>76</v>
      </c>
      <c r="C17" s="4">
        <v>0</v>
      </c>
      <c r="D17" s="4">
        <v>24</v>
      </c>
      <c r="E17" s="4">
        <v>1</v>
      </c>
      <c r="F17" s="2" t="s">
        <v>95</v>
      </c>
      <c r="G17" s="2" t="s">
        <v>101</v>
      </c>
      <c r="H17" s="2" t="s">
        <v>105</v>
      </c>
      <c r="I17" s="4">
        <v>1</v>
      </c>
      <c r="J17" s="6">
        <v>1718</v>
      </c>
      <c r="K17" s="8">
        <v>45633</v>
      </c>
      <c r="N17" s="6">
        <f t="shared" si="0"/>
        <v>1718</v>
      </c>
    </row>
    <row r="18" spans="1:14" x14ac:dyDescent="0.3">
      <c r="A18" s="2" t="s">
        <v>27</v>
      </c>
      <c r="B18" s="2" t="s">
        <v>62</v>
      </c>
      <c r="C18" s="4">
        <v>1</v>
      </c>
      <c r="D18" s="4">
        <v>25</v>
      </c>
      <c r="E18" s="4">
        <v>3</v>
      </c>
      <c r="F18" s="2" t="s">
        <v>97</v>
      </c>
      <c r="G18" s="2" t="s">
        <v>102</v>
      </c>
      <c r="H18" s="2" t="s">
        <v>106</v>
      </c>
      <c r="I18" s="4">
        <v>9</v>
      </c>
      <c r="J18" s="6">
        <v>4996</v>
      </c>
      <c r="K18" s="8">
        <v>45442</v>
      </c>
      <c r="N18" s="6">
        <f t="shared" si="0"/>
        <v>44964</v>
      </c>
    </row>
    <row r="19" spans="1:14" x14ac:dyDescent="0.3">
      <c r="A19" s="2" t="s">
        <v>28</v>
      </c>
      <c r="B19" s="2" t="s">
        <v>77</v>
      </c>
      <c r="C19" s="4">
        <v>1</v>
      </c>
      <c r="D19" s="4">
        <v>52</v>
      </c>
      <c r="E19" s="4">
        <v>1</v>
      </c>
      <c r="F19" s="2" t="s">
        <v>98</v>
      </c>
      <c r="G19" s="2" t="s">
        <v>102</v>
      </c>
      <c r="H19" s="2" t="s">
        <v>106</v>
      </c>
      <c r="I19" s="4">
        <v>9</v>
      </c>
      <c r="J19" s="6">
        <v>3604</v>
      </c>
      <c r="K19" s="8">
        <v>45418</v>
      </c>
      <c r="N19" s="6">
        <f t="shared" si="0"/>
        <v>32436</v>
      </c>
    </row>
    <row r="20" spans="1:14" x14ac:dyDescent="0.3">
      <c r="A20" s="2" t="s">
        <v>29</v>
      </c>
      <c r="B20" s="2" t="s">
        <v>61</v>
      </c>
      <c r="C20" s="4">
        <v>1</v>
      </c>
      <c r="D20" s="4">
        <v>31</v>
      </c>
      <c r="E20" s="4">
        <v>2</v>
      </c>
      <c r="F20" s="2" t="s">
        <v>97</v>
      </c>
      <c r="G20" s="2" t="s">
        <v>100</v>
      </c>
      <c r="H20" s="2" t="s">
        <v>103</v>
      </c>
      <c r="I20" s="4">
        <v>2</v>
      </c>
      <c r="J20" s="6">
        <v>3235</v>
      </c>
      <c r="K20" s="8">
        <v>45446</v>
      </c>
      <c r="N20" s="6">
        <f t="shared" si="0"/>
        <v>6470</v>
      </c>
    </row>
    <row r="21" spans="1:14" x14ac:dyDescent="0.3">
      <c r="A21" s="2" t="s">
        <v>30</v>
      </c>
      <c r="B21" s="2" t="s">
        <v>78</v>
      </c>
      <c r="C21" s="4">
        <v>0</v>
      </c>
      <c r="D21" s="4">
        <v>34</v>
      </c>
      <c r="E21" s="4">
        <v>3</v>
      </c>
      <c r="F21" s="2" t="s">
        <v>98</v>
      </c>
      <c r="G21" s="2" t="s">
        <v>100</v>
      </c>
      <c r="H21" s="2" t="s">
        <v>104</v>
      </c>
      <c r="I21" s="4">
        <v>7</v>
      </c>
      <c r="J21" s="6">
        <v>1454</v>
      </c>
      <c r="K21" s="8">
        <v>45564</v>
      </c>
      <c r="N21" s="6">
        <f t="shared" si="0"/>
        <v>10178</v>
      </c>
    </row>
    <row r="22" spans="1:14" x14ac:dyDescent="0.3">
      <c r="A22" s="2" t="s">
        <v>31</v>
      </c>
      <c r="B22" s="2" t="s">
        <v>79</v>
      </c>
      <c r="C22" s="4">
        <v>1</v>
      </c>
      <c r="D22" s="4">
        <v>53</v>
      </c>
      <c r="E22" s="4">
        <v>2</v>
      </c>
      <c r="F22" s="2" t="s">
        <v>98</v>
      </c>
      <c r="G22" s="2" t="s">
        <v>99</v>
      </c>
      <c r="H22" s="2" t="s">
        <v>106</v>
      </c>
      <c r="I22" s="4">
        <v>3</v>
      </c>
      <c r="J22" s="6">
        <v>3946</v>
      </c>
      <c r="K22" s="8">
        <v>45395</v>
      </c>
      <c r="N22" s="6">
        <f t="shared" si="0"/>
        <v>11838</v>
      </c>
    </row>
    <row r="23" spans="1:14" x14ac:dyDescent="0.3">
      <c r="A23" s="2" t="s">
        <v>32</v>
      </c>
      <c r="B23" s="2" t="s">
        <v>74</v>
      </c>
      <c r="C23" s="4">
        <v>0</v>
      </c>
      <c r="D23" s="4">
        <v>57</v>
      </c>
      <c r="E23" s="4">
        <v>1</v>
      </c>
      <c r="F23" s="2" t="s">
        <v>96</v>
      </c>
      <c r="G23" s="2" t="s">
        <v>101</v>
      </c>
      <c r="H23" s="2" t="s">
        <v>104</v>
      </c>
      <c r="I23" s="4">
        <v>7</v>
      </c>
      <c r="J23" s="6">
        <v>1545</v>
      </c>
      <c r="K23" s="8">
        <v>45590</v>
      </c>
      <c r="N23" s="6">
        <f t="shared" si="0"/>
        <v>10815</v>
      </c>
    </row>
    <row r="24" spans="1:14" x14ac:dyDescent="0.3">
      <c r="A24" s="2" t="s">
        <v>33</v>
      </c>
      <c r="B24" s="2" t="s">
        <v>80</v>
      </c>
      <c r="C24" s="4">
        <v>1</v>
      </c>
      <c r="D24" s="4">
        <v>21</v>
      </c>
      <c r="E24" s="4">
        <v>4</v>
      </c>
      <c r="F24" s="2" t="s">
        <v>97</v>
      </c>
      <c r="G24" s="2" t="s">
        <v>100</v>
      </c>
      <c r="H24" s="2" t="s">
        <v>106</v>
      </c>
      <c r="I24" s="4">
        <v>9</v>
      </c>
      <c r="J24" s="6">
        <v>2193</v>
      </c>
      <c r="K24" s="8">
        <v>45537</v>
      </c>
      <c r="N24" s="6">
        <f t="shared" si="0"/>
        <v>19737</v>
      </c>
    </row>
    <row r="25" spans="1:14" x14ac:dyDescent="0.3">
      <c r="A25" s="2" t="s">
        <v>34</v>
      </c>
      <c r="B25" s="2" t="s">
        <v>81</v>
      </c>
      <c r="C25" s="4">
        <v>1</v>
      </c>
      <c r="D25" s="4">
        <v>19</v>
      </c>
      <c r="E25" s="4">
        <v>3</v>
      </c>
      <c r="F25" s="2" t="s">
        <v>95</v>
      </c>
      <c r="G25" s="2" t="s">
        <v>102</v>
      </c>
      <c r="H25" s="2" t="s">
        <v>104</v>
      </c>
      <c r="I25" s="4">
        <v>4</v>
      </c>
      <c r="J25" s="6">
        <v>3936</v>
      </c>
      <c r="K25" s="8">
        <v>45467</v>
      </c>
      <c r="N25" s="6">
        <f t="shared" si="0"/>
        <v>15744</v>
      </c>
    </row>
    <row r="26" spans="1:14" x14ac:dyDescent="0.3">
      <c r="A26" s="2" t="s">
        <v>35</v>
      </c>
      <c r="B26" s="2" t="s">
        <v>82</v>
      </c>
      <c r="C26" s="4">
        <v>1</v>
      </c>
      <c r="D26" s="4">
        <v>23</v>
      </c>
      <c r="E26" s="4">
        <v>1</v>
      </c>
      <c r="F26" s="2" t="s">
        <v>95</v>
      </c>
      <c r="G26" s="2" t="s">
        <v>99</v>
      </c>
      <c r="H26" s="2" t="s">
        <v>105</v>
      </c>
      <c r="I26" s="4">
        <v>1</v>
      </c>
      <c r="J26" s="6">
        <v>1062</v>
      </c>
      <c r="K26" s="8">
        <v>45330</v>
      </c>
      <c r="N26" s="6">
        <f t="shared" si="0"/>
        <v>1062</v>
      </c>
    </row>
    <row r="27" spans="1:14" x14ac:dyDescent="0.3">
      <c r="A27" s="2" t="s">
        <v>36</v>
      </c>
      <c r="B27" s="2" t="s">
        <v>83</v>
      </c>
      <c r="C27" s="4">
        <v>1</v>
      </c>
      <c r="D27" s="4">
        <v>59</v>
      </c>
      <c r="E27" s="4">
        <v>4</v>
      </c>
      <c r="F27" s="2" t="s">
        <v>97</v>
      </c>
      <c r="G27" s="2" t="s">
        <v>102</v>
      </c>
      <c r="H27" s="2" t="s">
        <v>104</v>
      </c>
      <c r="I27" s="4">
        <v>2</v>
      </c>
      <c r="J27" s="6">
        <v>2985</v>
      </c>
      <c r="K27" s="8">
        <v>45461</v>
      </c>
      <c r="N27" s="6">
        <f t="shared" si="0"/>
        <v>5970</v>
      </c>
    </row>
    <row r="28" spans="1:14" x14ac:dyDescent="0.3">
      <c r="A28" s="2" t="s">
        <v>37</v>
      </c>
      <c r="B28" s="2" t="s">
        <v>84</v>
      </c>
      <c r="C28" s="4">
        <v>1</v>
      </c>
      <c r="D28" s="4">
        <v>21</v>
      </c>
      <c r="E28" s="4">
        <v>4</v>
      </c>
      <c r="F28" s="2" t="s">
        <v>95</v>
      </c>
      <c r="G28" s="2" t="s">
        <v>102</v>
      </c>
      <c r="H28" s="2" t="s">
        <v>105</v>
      </c>
      <c r="I28" s="4">
        <v>1</v>
      </c>
      <c r="J28" s="6">
        <v>3854</v>
      </c>
      <c r="K28" s="8">
        <v>45538</v>
      </c>
      <c r="N28" s="6">
        <f t="shared" si="0"/>
        <v>3854</v>
      </c>
    </row>
    <row r="29" spans="1:14" x14ac:dyDescent="0.3">
      <c r="A29" s="2" t="s">
        <v>38</v>
      </c>
      <c r="B29" s="2" t="s">
        <v>74</v>
      </c>
      <c r="C29" s="4">
        <v>1</v>
      </c>
      <c r="D29" s="4">
        <v>46</v>
      </c>
      <c r="E29" s="4">
        <v>2</v>
      </c>
      <c r="F29" s="2" t="s">
        <v>95</v>
      </c>
      <c r="G29" s="2" t="s">
        <v>100</v>
      </c>
      <c r="H29" s="2" t="s">
        <v>105</v>
      </c>
      <c r="I29" s="4">
        <v>5</v>
      </c>
      <c r="J29" s="6">
        <v>725</v>
      </c>
      <c r="K29" s="8">
        <v>45317</v>
      </c>
      <c r="N29" s="6">
        <f t="shared" si="0"/>
        <v>3625</v>
      </c>
    </row>
    <row r="30" spans="1:14" x14ac:dyDescent="0.3">
      <c r="A30" s="2" t="s">
        <v>39</v>
      </c>
      <c r="B30" s="2" t="s">
        <v>85</v>
      </c>
      <c r="C30" s="4">
        <v>1</v>
      </c>
      <c r="D30" s="4">
        <v>35</v>
      </c>
      <c r="E30" s="4">
        <v>1</v>
      </c>
      <c r="F30" s="2" t="s">
        <v>97</v>
      </c>
      <c r="G30" s="2" t="s">
        <v>99</v>
      </c>
      <c r="H30" s="2" t="s">
        <v>104</v>
      </c>
      <c r="I30" s="4">
        <v>5</v>
      </c>
      <c r="J30" s="6">
        <v>1459</v>
      </c>
      <c r="K30" s="8">
        <v>45646</v>
      </c>
      <c r="N30" s="6">
        <f t="shared" si="0"/>
        <v>7295</v>
      </c>
    </row>
    <row r="31" spans="1:14" x14ac:dyDescent="0.3">
      <c r="A31" s="2" t="s">
        <v>40</v>
      </c>
      <c r="B31" s="2" t="s">
        <v>61</v>
      </c>
      <c r="C31" s="4">
        <v>1</v>
      </c>
      <c r="D31" s="4">
        <v>43</v>
      </c>
      <c r="E31" s="4">
        <v>4</v>
      </c>
      <c r="F31" s="2" t="s">
        <v>98</v>
      </c>
      <c r="G31" s="2" t="s">
        <v>101</v>
      </c>
      <c r="H31" s="2" t="s">
        <v>105</v>
      </c>
      <c r="I31" s="4">
        <v>7</v>
      </c>
      <c r="J31" s="6">
        <v>3567</v>
      </c>
      <c r="K31" s="8">
        <v>45597</v>
      </c>
      <c r="N31" s="6">
        <f t="shared" si="0"/>
        <v>24969</v>
      </c>
    </row>
    <row r="32" spans="1:14" x14ac:dyDescent="0.3">
      <c r="A32" s="2" t="s">
        <v>41</v>
      </c>
      <c r="B32" s="2" t="s">
        <v>77</v>
      </c>
      <c r="C32" s="4">
        <v>0</v>
      </c>
      <c r="D32" s="4">
        <v>51</v>
      </c>
      <c r="E32" s="4">
        <v>3</v>
      </c>
      <c r="F32" s="2" t="s">
        <v>97</v>
      </c>
      <c r="G32" s="2" t="s">
        <v>101</v>
      </c>
      <c r="H32" s="2" t="s">
        <v>103</v>
      </c>
      <c r="I32" s="4">
        <v>9</v>
      </c>
      <c r="J32" s="6">
        <v>1315</v>
      </c>
      <c r="K32" s="8">
        <v>45304</v>
      </c>
      <c r="N32" s="6">
        <f t="shared" si="0"/>
        <v>11835</v>
      </c>
    </row>
    <row r="33" spans="1:14" x14ac:dyDescent="0.3">
      <c r="A33" s="2" t="s">
        <v>42</v>
      </c>
      <c r="B33" s="2" t="s">
        <v>68</v>
      </c>
      <c r="C33" s="4">
        <v>0</v>
      </c>
      <c r="D33" s="4">
        <v>27</v>
      </c>
      <c r="E33" s="4">
        <v>3</v>
      </c>
      <c r="F33" s="2" t="s">
        <v>98</v>
      </c>
      <c r="G33" s="2" t="s">
        <v>100</v>
      </c>
      <c r="H33" s="2" t="s">
        <v>105</v>
      </c>
      <c r="I33" s="4">
        <v>9</v>
      </c>
      <c r="J33" s="6">
        <v>3620</v>
      </c>
      <c r="K33" s="8">
        <v>45607</v>
      </c>
      <c r="N33" s="6">
        <f t="shared" si="0"/>
        <v>32580</v>
      </c>
    </row>
    <row r="34" spans="1:14" x14ac:dyDescent="0.3">
      <c r="A34" s="2" t="s">
        <v>43</v>
      </c>
      <c r="B34" s="2" t="s">
        <v>82</v>
      </c>
      <c r="C34" s="4">
        <v>1</v>
      </c>
      <c r="D34" s="4">
        <v>53</v>
      </c>
      <c r="E34" s="4">
        <v>2</v>
      </c>
      <c r="F34" s="2" t="s">
        <v>95</v>
      </c>
      <c r="G34" s="2" t="s">
        <v>100</v>
      </c>
      <c r="H34" s="2" t="s">
        <v>106</v>
      </c>
      <c r="I34" s="4">
        <v>3</v>
      </c>
      <c r="J34" s="6">
        <v>516</v>
      </c>
      <c r="K34" s="8">
        <v>45604</v>
      </c>
      <c r="N34" s="6">
        <f t="shared" si="0"/>
        <v>1548</v>
      </c>
    </row>
    <row r="35" spans="1:14" x14ac:dyDescent="0.3">
      <c r="A35" s="2" t="s">
        <v>44</v>
      </c>
      <c r="B35" s="2" t="s">
        <v>86</v>
      </c>
      <c r="C35" s="4">
        <v>1</v>
      </c>
      <c r="D35" s="4">
        <v>31</v>
      </c>
      <c r="E35" s="4">
        <v>4</v>
      </c>
      <c r="F35" s="2" t="s">
        <v>95</v>
      </c>
      <c r="G35" s="2" t="s">
        <v>99</v>
      </c>
      <c r="H35" s="2" t="s">
        <v>104</v>
      </c>
      <c r="I35" s="4">
        <v>3</v>
      </c>
      <c r="J35" s="6">
        <v>1743</v>
      </c>
      <c r="K35" s="8">
        <v>45327</v>
      </c>
      <c r="N35" s="6">
        <f t="shared" si="0"/>
        <v>5229</v>
      </c>
    </row>
    <row r="36" spans="1:14" x14ac:dyDescent="0.3">
      <c r="A36" s="2" t="s">
        <v>45</v>
      </c>
      <c r="B36" s="2" t="s">
        <v>87</v>
      </c>
      <c r="C36" s="4">
        <v>1</v>
      </c>
      <c r="D36" s="4">
        <v>48</v>
      </c>
      <c r="E36" s="4">
        <v>1</v>
      </c>
      <c r="F36" s="2" t="s">
        <v>95</v>
      </c>
      <c r="G36" s="2" t="s">
        <v>101</v>
      </c>
      <c r="H36" s="2" t="s">
        <v>103</v>
      </c>
      <c r="I36" s="4">
        <v>3</v>
      </c>
      <c r="J36" s="6">
        <v>2705</v>
      </c>
      <c r="K36" s="8">
        <v>45464</v>
      </c>
      <c r="N36" s="6">
        <f t="shared" si="0"/>
        <v>8115</v>
      </c>
    </row>
    <row r="37" spans="1:14" x14ac:dyDescent="0.3">
      <c r="A37" s="2" t="s">
        <v>46</v>
      </c>
      <c r="B37" s="2" t="s">
        <v>79</v>
      </c>
      <c r="C37" s="4">
        <v>0</v>
      </c>
      <c r="D37" s="4">
        <v>32</v>
      </c>
      <c r="E37" s="4">
        <v>3</v>
      </c>
      <c r="F37" s="2" t="s">
        <v>96</v>
      </c>
      <c r="G37" s="2" t="s">
        <v>101</v>
      </c>
      <c r="H37" s="2" t="s">
        <v>104</v>
      </c>
      <c r="I37" s="4">
        <v>4</v>
      </c>
      <c r="J37" s="6">
        <v>3024</v>
      </c>
      <c r="K37" s="8">
        <v>45311</v>
      </c>
      <c r="N37" s="6">
        <f t="shared" si="0"/>
        <v>12096</v>
      </c>
    </row>
    <row r="38" spans="1:14" x14ac:dyDescent="0.3">
      <c r="A38" s="2" t="s">
        <v>47</v>
      </c>
      <c r="B38" s="2" t="s">
        <v>88</v>
      </c>
      <c r="C38" s="4">
        <v>1</v>
      </c>
      <c r="D38" s="4">
        <v>25</v>
      </c>
      <c r="E38" s="4">
        <v>4</v>
      </c>
      <c r="F38" s="2" t="s">
        <v>98</v>
      </c>
      <c r="G38" s="2" t="s">
        <v>101</v>
      </c>
      <c r="H38" s="2" t="s">
        <v>106</v>
      </c>
      <c r="I38" s="4">
        <v>8</v>
      </c>
      <c r="J38" s="6">
        <v>1569</v>
      </c>
      <c r="K38" s="8">
        <v>45612</v>
      </c>
      <c r="N38" s="6">
        <f t="shared" si="0"/>
        <v>12552</v>
      </c>
    </row>
    <row r="39" spans="1:14" x14ac:dyDescent="0.3">
      <c r="A39" s="2" t="s">
        <v>48</v>
      </c>
      <c r="B39" s="2" t="s">
        <v>84</v>
      </c>
      <c r="C39" s="4">
        <v>0</v>
      </c>
      <c r="D39" s="4">
        <v>31</v>
      </c>
      <c r="E39" s="4">
        <v>4</v>
      </c>
      <c r="F39" s="2" t="s">
        <v>96</v>
      </c>
      <c r="G39" s="2" t="s">
        <v>102</v>
      </c>
      <c r="H39" s="2" t="s">
        <v>106</v>
      </c>
      <c r="I39" s="4">
        <v>6</v>
      </c>
      <c r="J39" s="6">
        <v>3944</v>
      </c>
      <c r="K39" s="8">
        <v>45555</v>
      </c>
      <c r="N39" s="6">
        <f t="shared" si="0"/>
        <v>23664</v>
      </c>
    </row>
    <row r="40" spans="1:14" x14ac:dyDescent="0.3">
      <c r="A40" s="2" t="s">
        <v>49</v>
      </c>
      <c r="B40" s="2" t="s">
        <v>83</v>
      </c>
      <c r="C40" s="4">
        <v>0</v>
      </c>
      <c r="D40" s="4">
        <v>40</v>
      </c>
      <c r="E40" s="4">
        <v>2</v>
      </c>
      <c r="F40" s="2" t="s">
        <v>96</v>
      </c>
      <c r="G40" s="2" t="s">
        <v>101</v>
      </c>
      <c r="H40" s="2" t="s">
        <v>106</v>
      </c>
      <c r="I40" s="4">
        <v>8</v>
      </c>
      <c r="J40" s="6">
        <v>3065</v>
      </c>
      <c r="K40" s="8">
        <v>45433</v>
      </c>
      <c r="N40" s="6">
        <f t="shared" si="0"/>
        <v>24520</v>
      </c>
    </row>
    <row r="41" spans="1:14" x14ac:dyDescent="0.3">
      <c r="A41" s="2" t="s">
        <v>50</v>
      </c>
      <c r="B41" s="2" t="s">
        <v>89</v>
      </c>
      <c r="C41" s="4">
        <v>0</v>
      </c>
      <c r="D41" s="4">
        <v>57</v>
      </c>
      <c r="E41" s="4">
        <v>3</v>
      </c>
      <c r="F41" s="2" t="s">
        <v>97</v>
      </c>
      <c r="G41" s="2" t="s">
        <v>102</v>
      </c>
      <c r="H41" s="2" t="s">
        <v>105</v>
      </c>
      <c r="I41" s="4">
        <v>1</v>
      </c>
      <c r="J41" s="6">
        <v>1560</v>
      </c>
      <c r="K41" s="8">
        <v>45434</v>
      </c>
      <c r="N41" s="6">
        <f t="shared" si="0"/>
        <v>1560</v>
      </c>
    </row>
    <row r="42" spans="1:14" x14ac:dyDescent="0.3">
      <c r="A42" s="2" t="s">
        <v>51</v>
      </c>
      <c r="B42" s="2" t="s">
        <v>63</v>
      </c>
      <c r="C42" s="4">
        <v>0</v>
      </c>
      <c r="D42" s="4">
        <v>38</v>
      </c>
      <c r="E42" s="4">
        <v>3</v>
      </c>
      <c r="F42" s="2" t="s">
        <v>96</v>
      </c>
      <c r="G42" s="2" t="s">
        <v>99</v>
      </c>
      <c r="H42" s="2" t="s">
        <v>105</v>
      </c>
      <c r="I42" s="4">
        <v>8</v>
      </c>
      <c r="J42" s="6">
        <v>2827</v>
      </c>
      <c r="K42" s="8">
        <v>45383</v>
      </c>
      <c r="N42" s="6">
        <f t="shared" si="0"/>
        <v>22616</v>
      </c>
    </row>
    <row r="43" spans="1:14" x14ac:dyDescent="0.3">
      <c r="A43" s="2" t="s">
        <v>52</v>
      </c>
      <c r="B43" s="2" t="s">
        <v>90</v>
      </c>
      <c r="C43" s="4">
        <v>0</v>
      </c>
      <c r="D43" s="4">
        <v>33</v>
      </c>
      <c r="E43" s="4">
        <v>1</v>
      </c>
      <c r="F43" s="2" t="s">
        <v>97</v>
      </c>
      <c r="G43" s="2" t="s">
        <v>102</v>
      </c>
      <c r="H43" s="2" t="s">
        <v>104</v>
      </c>
      <c r="I43" s="4">
        <v>4</v>
      </c>
      <c r="J43" s="6">
        <v>3920</v>
      </c>
      <c r="K43" s="8">
        <v>45645</v>
      </c>
      <c r="N43" s="6">
        <f t="shared" si="0"/>
        <v>15680</v>
      </c>
    </row>
    <row r="44" spans="1:14" x14ac:dyDescent="0.3">
      <c r="A44" s="2" t="s">
        <v>53</v>
      </c>
      <c r="B44" s="2" t="s">
        <v>84</v>
      </c>
      <c r="C44" s="4">
        <v>1</v>
      </c>
      <c r="D44" s="4">
        <v>35</v>
      </c>
      <c r="E44" s="4">
        <v>3</v>
      </c>
      <c r="F44" s="2" t="s">
        <v>97</v>
      </c>
      <c r="G44" s="2" t="s">
        <v>99</v>
      </c>
      <c r="H44" s="2" t="s">
        <v>104</v>
      </c>
      <c r="I44" s="4">
        <v>1</v>
      </c>
      <c r="J44" s="6">
        <v>801</v>
      </c>
      <c r="K44" s="8">
        <v>45613</v>
      </c>
      <c r="N44" s="6">
        <f t="shared" si="0"/>
        <v>801</v>
      </c>
    </row>
    <row r="45" spans="1:14" x14ac:dyDescent="0.3">
      <c r="A45" s="2" t="s">
        <v>54</v>
      </c>
      <c r="B45" s="2" t="s">
        <v>71</v>
      </c>
      <c r="C45" s="4">
        <v>1</v>
      </c>
      <c r="D45" s="4">
        <v>41</v>
      </c>
      <c r="E45" s="4">
        <v>1</v>
      </c>
      <c r="F45" s="2" t="s">
        <v>96</v>
      </c>
      <c r="G45" s="2" t="s">
        <v>101</v>
      </c>
      <c r="H45" s="2" t="s">
        <v>103</v>
      </c>
      <c r="I45" s="4">
        <v>8</v>
      </c>
      <c r="J45" s="6">
        <v>4776</v>
      </c>
      <c r="K45" s="8">
        <v>45579</v>
      </c>
      <c r="N45" s="6">
        <f t="shared" si="0"/>
        <v>38208</v>
      </c>
    </row>
    <row r="46" spans="1:14" x14ac:dyDescent="0.3">
      <c r="A46" s="2" t="s">
        <v>55</v>
      </c>
      <c r="B46" s="2" t="s">
        <v>91</v>
      </c>
      <c r="C46" s="4">
        <v>1</v>
      </c>
      <c r="D46" s="4">
        <v>43</v>
      </c>
      <c r="E46" s="4">
        <v>3</v>
      </c>
      <c r="F46" s="2" t="s">
        <v>98</v>
      </c>
      <c r="G46" s="2" t="s">
        <v>101</v>
      </c>
      <c r="H46" s="2" t="s">
        <v>103</v>
      </c>
      <c r="I46" s="4">
        <v>4</v>
      </c>
      <c r="J46" s="6">
        <v>1106</v>
      </c>
      <c r="K46" s="8">
        <v>45506</v>
      </c>
      <c r="N46" s="6">
        <f t="shared" si="0"/>
        <v>4424</v>
      </c>
    </row>
    <row r="47" spans="1:14" x14ac:dyDescent="0.3">
      <c r="A47" s="2" t="s">
        <v>56</v>
      </c>
      <c r="B47" s="2" t="s">
        <v>92</v>
      </c>
      <c r="C47" s="4">
        <v>1</v>
      </c>
      <c r="D47" s="4">
        <v>42</v>
      </c>
      <c r="E47" s="4">
        <v>2</v>
      </c>
      <c r="F47" s="2" t="s">
        <v>98</v>
      </c>
      <c r="G47" s="2" t="s">
        <v>99</v>
      </c>
      <c r="H47" s="2" t="s">
        <v>104</v>
      </c>
      <c r="I47" s="4">
        <v>6</v>
      </c>
      <c r="J47" s="6">
        <v>3670</v>
      </c>
      <c r="K47" s="8">
        <v>45633</v>
      </c>
      <c r="N47" s="6">
        <f t="shared" si="0"/>
        <v>22020</v>
      </c>
    </row>
    <row r="48" spans="1:14" x14ac:dyDescent="0.3">
      <c r="A48" s="2" t="s">
        <v>57</v>
      </c>
      <c r="B48" s="2" t="s">
        <v>93</v>
      </c>
      <c r="C48" s="4">
        <v>1</v>
      </c>
      <c r="D48" s="4">
        <v>58</v>
      </c>
      <c r="E48" s="4">
        <v>3</v>
      </c>
      <c r="F48" s="2" t="s">
        <v>98</v>
      </c>
      <c r="G48" s="2" t="s">
        <v>100</v>
      </c>
      <c r="H48" s="2" t="s">
        <v>105</v>
      </c>
      <c r="I48" s="4">
        <v>8</v>
      </c>
      <c r="J48" s="6">
        <v>1199</v>
      </c>
      <c r="K48" s="8">
        <v>45342</v>
      </c>
      <c r="N48" s="6">
        <f t="shared" si="0"/>
        <v>9592</v>
      </c>
    </row>
    <row r="49" spans="1:14" x14ac:dyDescent="0.3">
      <c r="A49" s="2" t="s">
        <v>58</v>
      </c>
      <c r="B49" s="2" t="s">
        <v>94</v>
      </c>
      <c r="C49" s="4">
        <v>0</v>
      </c>
      <c r="D49" s="4">
        <v>46</v>
      </c>
      <c r="E49" s="4">
        <v>1</v>
      </c>
      <c r="F49" s="2" t="s">
        <v>98</v>
      </c>
      <c r="G49" s="2" t="s">
        <v>99</v>
      </c>
      <c r="H49" s="2" t="s">
        <v>106</v>
      </c>
      <c r="I49" s="4">
        <v>4</v>
      </c>
      <c r="J49" s="6">
        <v>1639</v>
      </c>
      <c r="K49" s="8">
        <v>45444</v>
      </c>
      <c r="N49" s="6">
        <f t="shared" si="0"/>
        <v>6556</v>
      </c>
    </row>
    <row r="50" spans="1:14" x14ac:dyDescent="0.3">
      <c r="A50" s="2" t="s">
        <v>59</v>
      </c>
      <c r="B50" s="2" t="s">
        <v>69</v>
      </c>
      <c r="C50" s="4">
        <v>1</v>
      </c>
      <c r="D50" s="4">
        <v>32</v>
      </c>
      <c r="E50" s="4">
        <v>1</v>
      </c>
      <c r="F50" s="2" t="s">
        <v>98</v>
      </c>
      <c r="G50" s="2" t="s">
        <v>100</v>
      </c>
      <c r="H50" s="2" t="s">
        <v>104</v>
      </c>
      <c r="I50" s="4">
        <v>3</v>
      </c>
      <c r="J50" s="6">
        <v>690</v>
      </c>
      <c r="K50" s="8">
        <v>45477</v>
      </c>
      <c r="N50" s="6">
        <f t="shared" si="0"/>
        <v>2070</v>
      </c>
    </row>
    <row r="51" spans="1:14" x14ac:dyDescent="0.3">
      <c r="A51" s="2" t="s">
        <v>60</v>
      </c>
      <c r="B51" s="2" t="s">
        <v>87</v>
      </c>
      <c r="C51" s="4">
        <v>1</v>
      </c>
      <c r="D51" s="4">
        <v>18</v>
      </c>
      <c r="E51" s="4">
        <v>2</v>
      </c>
      <c r="F51" s="2" t="s">
        <v>96</v>
      </c>
      <c r="G51" s="2" t="s">
        <v>102</v>
      </c>
      <c r="H51" s="2" t="s">
        <v>103</v>
      </c>
      <c r="I51" s="4">
        <v>9</v>
      </c>
      <c r="J51" s="6">
        <v>2800</v>
      </c>
      <c r="K51" s="8">
        <v>45354</v>
      </c>
      <c r="N51" s="6">
        <f t="shared" si="0"/>
        <v>25200</v>
      </c>
    </row>
  </sheetData>
  <dataConsolidate function="max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 Darain Hyder Kazmi</cp:lastModifiedBy>
  <dcterms:created xsi:type="dcterms:W3CDTF">2025-11-01T21:01:53Z</dcterms:created>
  <dcterms:modified xsi:type="dcterms:W3CDTF">2025-11-02T08:53:48Z</dcterms:modified>
</cp:coreProperties>
</file>